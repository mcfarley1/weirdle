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egan\Desktop\VBA\Weirdle and Beardle\"/>
    </mc:Choice>
  </mc:AlternateContent>
  <xr:revisionPtr revIDLastSave="0" documentId="13_ncr:1_{E4D82A17-0345-4916-9471-AD6A4B5C4F40}" xr6:coauthVersionLast="47" xr6:coauthVersionMax="47" xr10:uidLastSave="{00000000-0000-0000-0000-000000000000}"/>
  <bookViews>
    <workbookView xWindow="-96" yWindow="-96" windowWidth="23232" windowHeight="12552" tabRatio="500" xr2:uid="{00000000-000D-0000-FFFF-FFFF00000000}"/>
  </bookViews>
  <sheets>
    <sheet name="Weirdle" sheetId="1" r:id="rId1"/>
    <sheet name="Words" sheetId="2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" i="2" l="1"/>
  <c r="F1" i="2"/>
  <c r="C39" i="2"/>
  <c r="C35" i="2"/>
  <c r="C36" i="2"/>
  <c r="C37" i="2"/>
  <c r="C38" i="2"/>
  <c r="C34" i="2"/>
  <c r="C33" i="2"/>
  <c r="C32" i="2"/>
  <c r="C31" i="2"/>
  <c r="C30" i="2"/>
  <c r="C29" i="2"/>
  <c r="F7" i="2"/>
  <c r="O3" i="2"/>
  <c r="P3" i="2"/>
  <c r="O4" i="2"/>
  <c r="P4" i="2"/>
  <c r="O5" i="2"/>
  <c r="P5" i="2"/>
  <c r="O6" i="2"/>
  <c r="P6" i="2"/>
  <c r="O7" i="2"/>
  <c r="P7" i="2"/>
  <c r="O8" i="2"/>
  <c r="P8" i="2"/>
  <c r="P10" i="2"/>
  <c r="N3" i="2"/>
  <c r="M3" i="2"/>
  <c r="N4" i="2"/>
  <c r="M4" i="2"/>
  <c r="N5" i="2"/>
  <c r="M5" i="2"/>
  <c r="N6" i="2"/>
  <c r="M6" i="2"/>
  <c r="N7" i="2"/>
  <c r="M7" i="2"/>
  <c r="N8" i="2"/>
  <c r="M8" i="2"/>
  <c r="M10" i="2"/>
  <c r="C28" i="2"/>
  <c r="G1" i="2"/>
  <c r="C27" i="2"/>
  <c r="C26" i="2"/>
  <c r="C25" i="2"/>
  <c r="C24" i="2"/>
  <c r="C23" i="2"/>
  <c r="C22" i="2"/>
  <c r="C21" i="2"/>
  <c r="C20" i="2"/>
  <c r="C19" i="2"/>
  <c r="C18" i="2"/>
  <c r="C17" i="2"/>
  <c r="F1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" i="2"/>
</calcChain>
</file>

<file path=xl/sharedStrings.xml><?xml version="1.0" encoding="utf-8"?>
<sst xmlns="http://schemas.openxmlformats.org/spreadsheetml/2006/main" count="77" uniqueCount="77">
  <si>
    <t>bleb</t>
  </si>
  <si>
    <t>skull</t>
  </si>
  <si>
    <t>blood</t>
  </si>
  <si>
    <t>corpse</t>
  </si>
  <si>
    <t>opioid</t>
  </si>
  <si>
    <t>case</t>
  </si>
  <si>
    <t>hood</t>
  </si>
  <si>
    <t>clot</t>
  </si>
  <si>
    <t>oily</t>
  </si>
  <si>
    <t>urine</t>
  </si>
  <si>
    <t>liver</t>
  </si>
  <si>
    <t>report</t>
  </si>
  <si>
    <t>dilute</t>
  </si>
  <si>
    <t>blank</t>
  </si>
  <si>
    <t>matrix</t>
  </si>
  <si>
    <t>Enter guess here:</t>
  </si>
  <si>
    <t>recon</t>
  </si>
  <si>
    <t>tissue</t>
  </si>
  <si>
    <t>bone</t>
  </si>
  <si>
    <t>needle</t>
  </si>
  <si>
    <t>purge</t>
  </si>
  <si>
    <t>crimp</t>
  </si>
  <si>
    <t>vial</t>
  </si>
  <si>
    <t>column</t>
  </si>
  <si>
    <t>fluid</t>
  </si>
  <si>
    <t>drug</t>
  </si>
  <si>
    <t>You get ten attempts.</t>
  </si>
  <si>
    <t>morgue</t>
  </si>
  <si>
    <t>guess letters match word letters:</t>
  </si>
  <si>
    <t>sum:</t>
  </si>
  <si>
    <t># of tries:</t>
  </si>
  <si>
    <t>guess word:</t>
  </si>
  <si>
    <t>ampule</t>
  </si>
  <si>
    <t>The length of the word is represented by the number of gray boxes.</t>
  </si>
  <si>
    <t>assay</t>
  </si>
  <si>
    <t>batch</t>
  </si>
  <si>
    <t>check</t>
  </si>
  <si>
    <t>ratio</t>
  </si>
  <si>
    <t>acid</t>
  </si>
  <si>
    <t>review</t>
  </si>
  <si>
    <t>peak</t>
  </si>
  <si>
    <t>Letters that are correct but are in the wrong location will appear amber.</t>
  </si>
  <si>
    <t>Letters that are correct and in the correct location will appear green.</t>
  </si>
  <si>
    <t>Enter your guess in cell B8, then press the "Play" button.</t>
  </si>
  <si>
    <t>toxin</t>
  </si>
  <si>
    <t>frozen</t>
  </si>
  <si>
    <t>humor</t>
  </si>
  <si>
    <t>poison</t>
  </si>
  <si>
    <t>decomp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</si>
  <si>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</si>
  <si>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</si>
  <si>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</si>
  <si>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</si>
  <si>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</si>
  <si>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</si>
  <si>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</si>
  <si>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</si>
  <si>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</si>
  <si>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</si>
  <si>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</si>
  <si>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</si>
  <si>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</si>
  <si>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</si>
  <si>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</si>
  <si>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</si>
  <si>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</si>
  <si>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</si>
  <si>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</si>
  <si>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</si>
  <si>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</si>
  <si>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</si>
  <si>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</si>
  <si>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</si>
  <si>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</si>
  <si>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</si>
  <si>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d</t>
  </si>
  <si>
    <t>Letters that are incorrect will remain black, and will be shaded dark gray in the fake keyboard on the right.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</si>
</sst>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sz val="48"/>
      <color theme="1"/>
      <name val="Calibri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48"/>
      <color rgb="FF000000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 applyBorder="1"/>
    <xf numFmtId="0" fontId="1" fillId="0" borderId="0" xfId="0" applyFont="1"/>
    <xf numFmtId="0" fontId="0" fillId="0" borderId="0" xfId="0" applyBorder="1"/>
    <xf numFmtId="0" fontId="0" fillId="0" borderId="0" xfId="0" applyFill="1"/>
    <xf numFmtId="0" fontId="1" fillId="0" borderId="2" xfId="0" applyFont="1" applyBorder="1"/>
    <xf numFmtId="0" fontId="5" fillId="2" borderId="2" xfId="0" applyFont="1" applyFill="1" applyBorder="1"/>
    <xf numFmtId="0" fontId="6" fillId="0" borderId="1" xfId="0" applyFont="1" applyBorder="1" applyProtection="1">
      <protection locked="0"/>
    </xf>
    <xf numFmtId="14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5" fillId="3" borderId="2" xfId="0" applyFont="1" applyFill="1" applyBorder="1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8</xdr:row>
          <xdr:rowOff>419100</xdr:rowOff>
        </xdr:from>
        <xdr:to>
          <xdr:col>2</xdr:col>
          <xdr:colOff>68580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Z99"/>
  <sheetViews>
    <sheetView tabSelected="1" zoomScale="70" zoomScaleNormal="70" workbookViewId="0">
      <selection activeCell="B8" sqref="B8"/>
    </sheetView>
  </sheetViews>
  <sheetFormatPr defaultColWidth="11" defaultRowHeight="15.6"/>
  <cols>
    <col min="2" max="2" width="37.34765625" customWidth="1"/>
  </cols>
  <sheetData>
    <row r="1" spans="2:26">
      <c r="B1" t="s">
        <v>33</v>
      </c>
    </row>
    <row r="2" spans="2:26">
      <c r="B2" s="3" t="s">
        <v>43</v>
      </c>
    </row>
    <row r="3" spans="2:26">
      <c r="B3" t="s">
        <v>42</v>
      </c>
      <c r="F3" t="s">
        <v>26</v>
      </c>
    </row>
    <row r="4" spans="2:26" ht="15" customHeight="1">
      <c r="B4" t="s">
        <v>41</v>
      </c>
      <c r="M4" s="4"/>
    </row>
    <row r="5" spans="2:26">
      <c r="B5" t="s">
        <v>76</v>
      </c>
    </row>
    <row r="7" spans="2:26" ht="15.9" thickBot="1">
      <c r="B7" t="s">
        <v>15</v>
      </c>
    </row>
    <row r="8" spans="2:26" s="1" customFormat="1" ht="59.1" customHeight="1" thickBot="1">
      <c r="B8" s="7"/>
      <c r="D8" s="15"/>
      <c r="E8" s="15"/>
      <c r="F8" s="15"/>
      <c r="G8" s="15"/>
      <c r="H8" s="6"/>
      <c r="I8" s="6"/>
      <c r="J8" s="5"/>
      <c r="L8" s="6" t="s">
        <v>49</v>
      </c>
      <c r="M8" s="6" t="s">
        <v>50</v>
      </c>
      <c r="N8" s="6" t="s">
        <v>51</v>
      </c>
      <c r="O8" s="6" t="s">
        <v>52</v>
      </c>
      <c r="P8" s="6" t="s">
        <v>53</v>
      </c>
      <c r="Q8" s="6" t="s">
        <v>54</v>
      </c>
      <c r="R8" s="6" t="s">
        <v>55</v>
      </c>
      <c r="S8" s="6" t="s">
        <v>56</v>
      </c>
      <c r="T8" s="6" t="s">
        <v>57</v>
      </c>
      <c r="U8" s="6" t="s">
        <v>58</v>
      </c>
      <c r="V8" s="2"/>
      <c r="W8" s="2"/>
      <c r="X8" s="2"/>
      <c r="Y8" s="2"/>
      <c r="Z8" s="2"/>
    </row>
    <row r="9" spans="2:26" s="2" customFormat="1" ht="59.1" customHeight="1">
      <c r="D9" s="6"/>
      <c r="E9" s="6"/>
      <c r="F9" s="6"/>
      <c r="G9" s="6"/>
      <c r="H9" s="6"/>
      <c r="I9" s="6"/>
      <c r="J9" s="5"/>
      <c r="L9" s="6"/>
      <c r="M9" s="6" t="s">
        <v>59</v>
      </c>
      <c r="N9" s="6" t="s">
        <v>60</v>
      </c>
      <c r="O9" s="6" t="s">
        <v>61</v>
      </c>
      <c r="P9" s="6" t="s">
        <v>62</v>
      </c>
      <c r="Q9" s="6" t="s">
        <v>63</v>
      </c>
      <c r="R9" s="6" t="s">
        <v>64</v>
      </c>
      <c r="S9" s="6" t="s">
        <v>65</v>
      </c>
      <c r="T9" s="6" t="s">
        <v>66</v>
      </c>
      <c r="U9" s="6" t="s">
        <v>67</v>
      </c>
    </row>
    <row r="10" spans="2:26" s="2" customFormat="1" ht="59.1" customHeight="1">
      <c r="D10" s="6"/>
      <c r="E10" s="6"/>
      <c r="F10" s="6"/>
      <c r="G10" s="6"/>
      <c r="H10" s="6"/>
      <c r="I10" s="6"/>
      <c r="J10" s="5"/>
      <c r="L10" s="6"/>
      <c r="M10" s="6"/>
      <c r="N10" s="6" t="s">
        <v>68</v>
      </c>
      <c r="O10" s="6" t="s">
        <v>69</v>
      </c>
      <c r="P10" s="6" t="s">
        <v>70</v>
      </c>
      <c r="Q10" s="6" t="s">
        <v>71</v>
      </c>
      <c r="R10" s="6" t="s">
        <v>72</v>
      </c>
      <c r="S10" s="6" t="s">
        <v>73</v>
      </c>
      <c r="T10" s="6" t="s">
        <v>74</v>
      </c>
      <c r="U10" s="6"/>
    </row>
    <row r="11" spans="2:26" s="2" customFormat="1" ht="59.1" customHeight="1">
      <c r="D11" s="6"/>
      <c r="E11" s="6"/>
      <c r="F11" s="6"/>
      <c r="G11" s="6"/>
      <c r="H11" s="6"/>
      <c r="I11" s="6"/>
      <c r="J11" s="5"/>
    </row>
    <row r="12" spans="2:26" s="2" customFormat="1" ht="59.1" customHeight="1">
      <c r="D12" s="6"/>
      <c r="E12" s="6"/>
      <c r="F12" s="6"/>
      <c r="G12" s="6"/>
      <c r="H12" s="6"/>
      <c r="I12" s="6"/>
      <c r="J12" s="5"/>
    </row>
    <row r="13" spans="2:26" s="2" customFormat="1" ht="59.1" customHeight="1">
      <c r="D13" s="6"/>
      <c r="E13" s="6"/>
      <c r="F13" s="6"/>
      <c r="G13" s="6"/>
      <c r="H13" s="6"/>
      <c r="I13" s="6"/>
      <c r="J13" s="5"/>
    </row>
    <row r="14" spans="2:26" s="2" customFormat="1" ht="59.1" customHeight="1">
      <c r="D14" s="6"/>
      <c r="E14" s="6"/>
      <c r="F14" s="6"/>
      <c r="G14" s="6"/>
      <c r="H14" s="6"/>
      <c r="I14" s="6"/>
      <c r="J14" s="5"/>
    </row>
    <row r="15" spans="2:26" s="2" customFormat="1" ht="59.1" customHeight="1">
      <c r="D15" s="6"/>
      <c r="E15" s="6"/>
      <c r="F15" s="6"/>
      <c r="G15" s="6"/>
      <c r="H15" s="6"/>
      <c r="I15" s="6"/>
      <c r="J15" s="5"/>
    </row>
    <row r="16" spans="2:26" s="2" customFormat="1" ht="59.1" customHeight="1">
      <c r="D16" s="6"/>
      <c r="E16" s="6"/>
      <c r="F16" s="6"/>
      <c r="G16" s="6"/>
      <c r="H16" s="6"/>
      <c r="I16" s="6"/>
      <c r="J16" s="5"/>
    </row>
    <row r="17" spans="4:26" s="2" customFormat="1" ht="59.1" customHeight="1">
      <c r="D17" s="6"/>
      <c r="E17" s="6"/>
      <c r="F17" s="6"/>
      <c r="G17" s="6"/>
      <c r="H17" s="6"/>
      <c r="I17" s="6"/>
      <c r="J17" s="5"/>
    </row>
    <row r="18" spans="4:26" s="2" customFormat="1" ht="15" customHeight="1"/>
    <row r="19" spans="4:26" s="2" customFormat="1" ht="15" customHeight="1"/>
    <row r="20" spans="4:26" s="2" customFormat="1" ht="15" customHeight="1"/>
    <row r="21" spans="4:26" s="2" customFormat="1" ht="15" customHeight="1"/>
    <row r="22" spans="4:26" s="2" customFormat="1" ht="15" customHeight="1"/>
    <row r="23" spans="4:26" s="2" customFormat="1" ht="15" customHeight="1"/>
    <row r="24" spans="4:26" ht="15" customHeight="1"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4:26" ht="15" customHeight="1"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4:26" ht="15" customHeight="1"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4:26" ht="15" customHeight="1"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4:26" ht="15" customHeight="1"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4:26" ht="15" customHeight="1"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4:26" ht="15" customHeight="1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4:26" ht="15" customHeight="1"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4:26" ht="15" customHeight="1"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4:26" ht="15" customHeight="1"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4:26" ht="15" customHeight="1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4:26" ht="15" customHeight="1"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4:26" ht="15" customHeight="1"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4:26" ht="15" customHeight="1"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4:26" ht="15" customHeight="1"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4:26" ht="15" customHeight="1"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4:26" ht="15" customHeight="1"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4:26" ht="15" customHeight="1"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4:26" ht="15" customHeight="1"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4:26" ht="15" customHeight="1"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4:26" ht="15" customHeight="1"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4:26" ht="15" customHeight="1"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4:26" ht="15" customHeight="1"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4:26" ht="15" customHeight="1"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4:26" ht="15" customHeight="1"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4:26" ht="15" customHeight="1"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4:26" ht="15" customHeight="1"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4:26" ht="15" customHeight="1"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4:26" ht="15" customHeight="1"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4:26" ht="15" customHeight="1"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4:26" ht="15" customHeight="1"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4:26" ht="15" customHeight="1"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4:26" ht="15" customHeight="1"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4:26" ht="15" customHeight="1"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4:26" ht="15" customHeight="1"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4:26" ht="15" customHeight="1"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4:26" ht="15" customHeight="1"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4:26" ht="15" customHeight="1"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4:26" ht="15" customHeight="1"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4:26" ht="15" customHeight="1"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4:26" ht="15" customHeight="1"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4:26" ht="15" customHeight="1"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4:26" ht="15" customHeight="1"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4:26" ht="15" customHeight="1"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4:26" ht="15" customHeight="1"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4:26" ht="15" customHeight="1"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4:26" ht="15" customHeight="1"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4:26" ht="15" customHeight="1"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4:26" ht="15" customHeight="1"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4:26" ht="15" customHeight="1"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4:26" ht="15" customHeight="1"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4:26" ht="15" customHeight="1"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4:26" ht="15" customHeight="1"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4:26" ht="15" customHeight="1"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4:26" ht="15" customHeight="1"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4:26" ht="15" customHeight="1"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4:26" ht="15" customHeight="1"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4:26" ht="15" customHeight="1"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4:26" ht="15" customHeight="1"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4:26" ht="15" customHeight="1"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4:26" ht="15" customHeight="1"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4:26" ht="15" customHeight="1"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4:26" ht="15" customHeight="1"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4:26" ht="15" customHeight="1"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4:26" ht="15" customHeight="1"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4:26" ht="15" customHeight="1"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4:26" ht="15" customHeight="1"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4:26" ht="15" customHeight="1"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4:26" ht="15" customHeight="1"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4:26" ht="15" customHeight="1"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4:26" ht="15" customHeight="1"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4:26" ht="15" customHeight="1"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4:26" ht="15" customHeight="1"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4:26" ht="15" customHeight="1"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4:26" ht="15" customHeight="1"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4:26" ht="15" customHeight="1"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</sheetData>
  <sheetProtection sheet="1" objects="1" scenarios="1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eirdle">
                <anchor moveWithCells="1" sizeWithCells="1">
                  <from>
                    <xdr:col>0</xdr:col>
                    <xdr:colOff>723900</xdr:colOff>
                    <xdr:row>8</xdr:row>
                    <xdr:rowOff>419100</xdr:rowOff>
                  </from>
                  <to>
                    <xdr:col>2</xdr:col>
                    <xdr:colOff>68580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43"/>
  <sheetViews>
    <sheetView zoomScaleNormal="100" workbookViewId="0">
      <selection activeCell="G16" sqref="G16"/>
    </sheetView>
  </sheetViews>
  <sheetFormatPr defaultColWidth="10.84765625" defaultRowHeight="15.6"/>
  <cols>
    <col min="1" max="16384" width="10.84765625" style="9"/>
  </cols>
  <sheetData>
    <row r="1" spans="1:29">
      <c r="A1" s="8">
        <v>44711</v>
      </c>
      <c r="B1" s="9" t="s">
        <v>6</v>
      </c>
      <c r="C1" s="9">
        <f>LEN(B1)</f>
        <v>4</v>
      </c>
      <c r="E1" s="8">
        <f ca="1">TODAY()</f>
        <v>44711</v>
      </c>
      <c r="F1" s="9" t="str">
        <f ca="1">VLOOKUP($E1,$A$1:$C$100,2,FALSE)</f>
        <v>hood</v>
      </c>
      <c r="G1" s="9">
        <f ca="1">LEN(F1)</f>
        <v>4</v>
      </c>
      <c r="H1" s="10" t="s">
        <v>30</v>
      </c>
      <c r="I1" s="9">
        <v>0</v>
      </c>
      <c r="M1" s="11"/>
      <c r="N1" s="12" t="s">
        <v>75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>
      <c r="A2" s="8">
        <v>44712</v>
      </c>
      <c r="B2" s="9" t="s">
        <v>11</v>
      </c>
      <c r="C2" s="9">
        <f t="shared" ref="C2:C39" si="0">LEN(B2)</f>
        <v>6</v>
      </c>
      <c r="M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>
      <c r="A3" s="8">
        <v>44713</v>
      </c>
      <c r="B3" s="9" t="s">
        <v>7</v>
      </c>
      <c r="C3" s="9">
        <f t="shared" si="0"/>
        <v>4</v>
      </c>
      <c r="M3" s="13">
        <f ca="1">IF(ISNUMBER(N3),1,0)</f>
        <v>1</v>
      </c>
      <c r="N3" s="12">
        <f ca="1">SEARCH($N$1,$F$1)</f>
        <v>4</v>
      </c>
      <c r="O3" s="12" t="e">
        <f>SEARCH($N$1,$F$7)</f>
        <v>#VALUE!</v>
      </c>
      <c r="P3" s="13">
        <f>IF(ISNUMBER(O3),1,0)</f>
        <v>0</v>
      </c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29">
      <c r="A4" s="8">
        <v>44714</v>
      </c>
      <c r="B4" s="9" t="s">
        <v>48</v>
      </c>
      <c r="C4" s="9">
        <f t="shared" si="0"/>
        <v>6</v>
      </c>
      <c r="M4" s="13">
        <f t="shared" ref="M4:M8" ca="1" si="1">IF(ISNUMBER(N4),1,0)</f>
        <v>0</v>
      </c>
      <c r="N4" s="12" t="e">
        <f ca="1">SEARCH($N$1,$F$1,N3+1)</f>
        <v>#VALUE!</v>
      </c>
      <c r="O4" s="12" t="e">
        <f>SEARCH($N$1,$F$7,O3+1)</f>
        <v>#VALUE!</v>
      </c>
      <c r="P4" s="13">
        <f t="shared" ref="P4:P8" si="2">IF(ISNUMBER(O4),1,0)</f>
        <v>0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>
      <c r="A5" s="8">
        <v>44715</v>
      </c>
      <c r="B5" s="9" t="s">
        <v>8</v>
      </c>
      <c r="C5" s="9">
        <f t="shared" si="0"/>
        <v>4</v>
      </c>
      <c r="M5" s="13">
        <f t="shared" ca="1" si="1"/>
        <v>0</v>
      </c>
      <c r="N5" s="12" t="e">
        <f t="shared" ref="N5:N8" ca="1" si="3">SEARCH($N$1,$F$1,N4+1)</f>
        <v>#VALUE!</v>
      </c>
      <c r="O5" s="12" t="e">
        <f t="shared" ref="O5:O8" si="4">SEARCH($N$1,$F$7,O4+1)</f>
        <v>#VALUE!</v>
      </c>
      <c r="P5" s="13">
        <f t="shared" si="2"/>
        <v>0</v>
      </c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>
      <c r="A6" s="8">
        <v>44716</v>
      </c>
      <c r="B6" s="9" t="s">
        <v>2</v>
      </c>
      <c r="C6" s="9">
        <f t="shared" si="0"/>
        <v>5</v>
      </c>
      <c r="M6" s="13">
        <f t="shared" ca="1" si="1"/>
        <v>0</v>
      </c>
      <c r="N6" s="12" t="e">
        <f t="shared" ca="1" si="3"/>
        <v>#VALUE!</v>
      </c>
      <c r="O6" s="12" t="e">
        <f t="shared" si="4"/>
        <v>#VALUE!</v>
      </c>
      <c r="P6" s="13">
        <f t="shared" si="2"/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>
      <c r="A7" s="8">
        <v>44717</v>
      </c>
      <c r="B7" s="9" t="s">
        <v>3</v>
      </c>
      <c r="C7" s="9">
        <f t="shared" si="0"/>
        <v>6</v>
      </c>
      <c r="E7" s="10" t="s">
        <v>31</v>
      </c>
      <c r="F7" s="9">
        <f>Weirdle!B8</f>
        <v>0</v>
      </c>
      <c r="M7" s="13">
        <f t="shared" ca="1" si="1"/>
        <v>0</v>
      </c>
      <c r="N7" s="12" t="e">
        <f t="shared" ca="1" si="3"/>
        <v>#VALUE!</v>
      </c>
      <c r="O7" s="12" t="e">
        <f t="shared" si="4"/>
        <v>#VALUE!</v>
      </c>
      <c r="P7" s="13">
        <f t="shared" si="2"/>
        <v>0</v>
      </c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>
      <c r="A8" s="8">
        <v>44718</v>
      </c>
      <c r="B8" s="9" t="s">
        <v>34</v>
      </c>
      <c r="C8" s="9">
        <f t="shared" si="0"/>
        <v>5</v>
      </c>
      <c r="M8" s="13">
        <f t="shared" ca="1" si="1"/>
        <v>0</v>
      </c>
      <c r="N8" s="12" t="e">
        <f t="shared" ca="1" si="3"/>
        <v>#VALUE!</v>
      </c>
      <c r="O8" s="12" t="e">
        <f t="shared" si="4"/>
        <v>#VALUE!</v>
      </c>
      <c r="P8" s="13">
        <f t="shared" si="2"/>
        <v>0</v>
      </c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>
      <c r="A9" s="8">
        <v>44719</v>
      </c>
      <c r="B9" s="9" t="s">
        <v>1</v>
      </c>
      <c r="C9" s="9">
        <f t="shared" si="0"/>
        <v>5</v>
      </c>
      <c r="E9" s="10" t="s">
        <v>28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>
      <c r="A10" s="8">
        <v>44720</v>
      </c>
      <c r="B10" s="9" t="s">
        <v>4</v>
      </c>
      <c r="C10" s="9">
        <f t="shared" si="0"/>
        <v>6</v>
      </c>
      <c r="E10" s="10"/>
      <c r="M10" s="14">
        <f ca="1">SUM(M3:M8)</f>
        <v>1</v>
      </c>
      <c r="N10" s="11"/>
      <c r="O10" s="11"/>
      <c r="P10" s="14">
        <f>SUM(P3:P8)</f>
        <v>0</v>
      </c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>
      <c r="A11" s="8">
        <v>44721</v>
      </c>
      <c r="B11" s="9" t="s">
        <v>9</v>
      </c>
      <c r="C11" s="9">
        <f t="shared" si="0"/>
        <v>5</v>
      </c>
      <c r="E11" s="10" t="s">
        <v>29</v>
      </c>
      <c r="F11" s="9">
        <f>SUM(F9:K9)</f>
        <v>0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>
      <c r="A12" s="8">
        <v>44722</v>
      </c>
      <c r="B12" s="9" t="s">
        <v>10</v>
      </c>
      <c r="C12" s="9">
        <f t="shared" si="0"/>
        <v>5</v>
      </c>
    </row>
    <row r="13" spans="1:29">
      <c r="A13" s="8">
        <v>44723</v>
      </c>
      <c r="B13" s="9" t="s">
        <v>16</v>
      </c>
      <c r="C13" s="9">
        <f t="shared" si="0"/>
        <v>5</v>
      </c>
    </row>
    <row r="14" spans="1:29">
      <c r="A14" s="8">
        <v>44724</v>
      </c>
      <c r="B14" s="9" t="s">
        <v>12</v>
      </c>
      <c r="C14" s="9">
        <f t="shared" si="0"/>
        <v>6</v>
      </c>
    </row>
    <row r="15" spans="1:29">
      <c r="A15" s="8">
        <v>44725</v>
      </c>
      <c r="B15" s="9" t="s">
        <v>13</v>
      </c>
      <c r="C15" s="9">
        <f t="shared" si="0"/>
        <v>5</v>
      </c>
    </row>
    <row r="16" spans="1:29">
      <c r="A16" s="8">
        <v>44726</v>
      </c>
      <c r="B16" s="9" t="s">
        <v>14</v>
      </c>
      <c r="C16" s="9">
        <f t="shared" si="0"/>
        <v>6</v>
      </c>
    </row>
    <row r="17" spans="1:17">
      <c r="A17" s="8">
        <v>44727</v>
      </c>
      <c r="B17" s="9" t="s">
        <v>5</v>
      </c>
      <c r="C17" s="9">
        <f t="shared" si="0"/>
        <v>4</v>
      </c>
      <c r="N17" s="12"/>
      <c r="Q17" s="12"/>
    </row>
    <row r="18" spans="1:17">
      <c r="A18" s="8">
        <v>44728</v>
      </c>
      <c r="B18" s="9" t="s">
        <v>17</v>
      </c>
      <c r="C18" s="9">
        <f t="shared" si="0"/>
        <v>6</v>
      </c>
      <c r="N18" s="12"/>
      <c r="Q18" s="12"/>
    </row>
    <row r="19" spans="1:17">
      <c r="A19" s="8">
        <v>44729</v>
      </c>
      <c r="B19" s="9" t="s">
        <v>18</v>
      </c>
      <c r="C19" s="9">
        <f t="shared" si="0"/>
        <v>4</v>
      </c>
      <c r="N19" s="12"/>
      <c r="Q19" s="12"/>
    </row>
    <row r="20" spans="1:17">
      <c r="A20" s="8">
        <v>44730</v>
      </c>
      <c r="B20" s="9" t="s">
        <v>19</v>
      </c>
      <c r="C20" s="9">
        <f t="shared" si="0"/>
        <v>6</v>
      </c>
      <c r="N20" s="12"/>
      <c r="O20" s="12"/>
      <c r="P20" s="12"/>
      <c r="Q20" s="12"/>
    </row>
    <row r="21" spans="1:17">
      <c r="A21" s="8">
        <v>44731</v>
      </c>
      <c r="B21" s="9" t="s">
        <v>20</v>
      </c>
      <c r="C21" s="9">
        <f t="shared" si="0"/>
        <v>5</v>
      </c>
      <c r="N21" s="12"/>
      <c r="O21" s="12"/>
      <c r="P21" s="12"/>
      <c r="Q21" s="12"/>
    </row>
    <row r="22" spans="1:17">
      <c r="A22" s="8">
        <v>44732</v>
      </c>
      <c r="B22" s="9" t="s">
        <v>21</v>
      </c>
      <c r="C22" s="9">
        <f t="shared" si="0"/>
        <v>5</v>
      </c>
      <c r="N22" s="12"/>
      <c r="O22" s="12"/>
      <c r="P22" s="12"/>
      <c r="Q22" s="12"/>
    </row>
    <row r="23" spans="1:17">
      <c r="A23" s="8">
        <v>44733</v>
      </c>
      <c r="B23" s="9" t="s">
        <v>22</v>
      </c>
      <c r="C23" s="9">
        <f t="shared" si="0"/>
        <v>4</v>
      </c>
    </row>
    <row r="24" spans="1:17">
      <c r="A24" s="8">
        <v>44734</v>
      </c>
      <c r="B24" s="9" t="s">
        <v>23</v>
      </c>
      <c r="C24" s="9">
        <f t="shared" si="0"/>
        <v>6</v>
      </c>
    </row>
    <row r="25" spans="1:17">
      <c r="A25" s="8">
        <v>44735</v>
      </c>
      <c r="B25" s="9" t="s">
        <v>24</v>
      </c>
      <c r="C25" s="9">
        <f t="shared" si="0"/>
        <v>5</v>
      </c>
    </row>
    <row r="26" spans="1:17">
      <c r="A26" s="8">
        <v>44736</v>
      </c>
      <c r="B26" s="9" t="s">
        <v>25</v>
      </c>
      <c r="C26" s="9">
        <f t="shared" si="0"/>
        <v>4</v>
      </c>
    </row>
    <row r="27" spans="1:17">
      <c r="A27" s="8">
        <v>44737</v>
      </c>
      <c r="B27" s="9" t="s">
        <v>27</v>
      </c>
      <c r="C27" s="9">
        <f t="shared" si="0"/>
        <v>6</v>
      </c>
    </row>
    <row r="28" spans="1:17">
      <c r="A28" s="8">
        <v>44738</v>
      </c>
      <c r="B28" s="9" t="s">
        <v>32</v>
      </c>
      <c r="C28" s="9">
        <f t="shared" si="0"/>
        <v>6</v>
      </c>
    </row>
    <row r="29" spans="1:17">
      <c r="A29" s="8">
        <v>44739</v>
      </c>
      <c r="B29" s="9" t="s">
        <v>35</v>
      </c>
      <c r="C29" s="9">
        <f t="shared" si="0"/>
        <v>5</v>
      </c>
    </row>
    <row r="30" spans="1:17">
      <c r="A30" s="8">
        <v>44740</v>
      </c>
      <c r="B30" s="9" t="s">
        <v>36</v>
      </c>
      <c r="C30" s="9">
        <f t="shared" si="0"/>
        <v>5</v>
      </c>
    </row>
    <row r="31" spans="1:17">
      <c r="A31" s="8">
        <v>44741</v>
      </c>
      <c r="B31" s="9" t="s">
        <v>37</v>
      </c>
      <c r="C31" s="9">
        <f t="shared" si="0"/>
        <v>5</v>
      </c>
    </row>
    <row r="32" spans="1:17">
      <c r="A32" s="8">
        <v>44742</v>
      </c>
      <c r="B32" s="9" t="s">
        <v>38</v>
      </c>
      <c r="C32" s="9">
        <f t="shared" si="0"/>
        <v>4</v>
      </c>
    </row>
    <row r="33" spans="1:3">
      <c r="A33" s="8">
        <v>44743</v>
      </c>
      <c r="B33" s="9" t="s">
        <v>39</v>
      </c>
      <c r="C33" s="9">
        <f t="shared" si="0"/>
        <v>6</v>
      </c>
    </row>
    <row r="34" spans="1:3">
      <c r="A34" s="8">
        <v>44744</v>
      </c>
      <c r="B34" s="9" t="s">
        <v>40</v>
      </c>
      <c r="C34" s="9">
        <f t="shared" si="0"/>
        <v>4</v>
      </c>
    </row>
    <row r="35" spans="1:3">
      <c r="A35" s="8">
        <v>44745</v>
      </c>
      <c r="B35" s="9" t="s">
        <v>44</v>
      </c>
      <c r="C35" s="9">
        <f t="shared" si="0"/>
        <v>5</v>
      </c>
    </row>
    <row r="36" spans="1:3">
      <c r="A36" s="8">
        <v>44746</v>
      </c>
      <c r="B36" s="9" t="s">
        <v>45</v>
      </c>
      <c r="C36" s="9">
        <f t="shared" si="0"/>
        <v>6</v>
      </c>
    </row>
    <row r="37" spans="1:3">
      <c r="A37" s="8">
        <v>44747</v>
      </c>
      <c r="B37" s="9" t="s">
        <v>46</v>
      </c>
      <c r="C37" s="9">
        <f t="shared" si="0"/>
        <v>5</v>
      </c>
    </row>
    <row r="38" spans="1:3">
      <c r="A38" s="8">
        <v>44748</v>
      </c>
      <c r="B38" s="9" t="s">
        <v>47</v>
      </c>
      <c r="C38" s="9">
        <f t="shared" si="0"/>
        <v>6</v>
      </c>
    </row>
    <row r="39" spans="1:3">
      <c r="A39" s="8">
        <v>44749</v>
      </c>
      <c r="B39" s="9" t="s">
        <v>0</v>
      </c>
      <c r="C39" s="9">
        <f t="shared" si="0"/>
        <v>4</v>
      </c>
    </row>
    <row r="40" spans="1:3">
      <c r="A40" s="8"/>
    </row>
    <row r="41" spans="1:3">
      <c r="A41" s="8"/>
    </row>
    <row r="42" spans="1:3">
      <c r="A42" s="8"/>
    </row>
    <row r="43" spans="1:3">
      <c r="A43" s="8"/>
    </row>
  </sheetData>
  <conditionalFormatting sqref="C1:C100">
    <cfRule type="cellIs" dxfId="1" priority="2" operator="greaterThan">
      <formula>6</formula>
    </cfRule>
  </conditionalFormatting>
  <conditionalFormatting sqref="B1:B100">
    <cfRule type="duplicateValues" dxfId="0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Weirdle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Megan Farley</dc:creator>
  <cp:lastModifiedBy>Megan</cp:lastModifiedBy>
  <dcterms:created xsi:type="dcterms:W3CDTF">2022-02-13T20:45:42Z</dcterms:created>
  <dcterms:modified xsi:type="dcterms:W3CDTF">2022-05-30T19:47:33Z</dcterms:modified>
</cp:coreProperties>
</file>